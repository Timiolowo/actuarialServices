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owolafe\Documents\P&amp;C\Templates\"/>
    </mc:Choice>
  </mc:AlternateContent>
  <xr:revisionPtr revIDLastSave="0" documentId="13_ncr:1_{2DF3F36F-FD64-419A-95E5-952AD42C5FB1}" xr6:coauthVersionLast="47" xr6:coauthVersionMax="47" xr10:uidLastSave="{00000000-0000-0000-0000-000000000000}"/>
  <bookViews>
    <workbookView xWindow="-110" yWindow="-110" windowWidth="19420" windowHeight="10300" xr2:uid="{7E997AE2-0552-4CF0-A465-5BD7B4BF24DC}"/>
  </bookViews>
  <sheets>
    <sheet name="Calculation" sheetId="1" r:id="rId1"/>
    <sheet name="Summary" sheetId="2" r:id="rId2"/>
    <sheet name="Sear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J5" i="2" s="1"/>
  <c r="E5" i="2"/>
  <c r="F5" i="2"/>
  <c r="D6" i="2"/>
  <c r="J6" i="2" s="1"/>
  <c r="K6" i="2" s="1"/>
  <c r="E6" i="2"/>
  <c r="F6" i="2"/>
  <c r="D7" i="2"/>
  <c r="E7" i="2"/>
  <c r="F7" i="2"/>
  <c r="J7" i="2" s="1"/>
  <c r="K7" i="2" s="1"/>
  <c r="D8" i="2"/>
  <c r="J8" i="2" s="1"/>
  <c r="E8" i="2"/>
  <c r="F8" i="2"/>
  <c r="D9" i="2"/>
  <c r="J9" i="2" s="1"/>
  <c r="E9" i="2"/>
  <c r="F9" i="2"/>
  <c r="D10" i="2"/>
  <c r="E10" i="2"/>
  <c r="F10" i="2"/>
  <c r="J10" i="2" s="1"/>
  <c r="K10" i="2" s="1"/>
  <c r="D11" i="2"/>
  <c r="E11" i="2"/>
  <c r="F11" i="2"/>
  <c r="J11" i="2" s="1"/>
  <c r="K11" i="2" s="1"/>
  <c r="E4" i="2"/>
  <c r="F4" i="2"/>
  <c r="D4" i="2"/>
  <c r="C5" i="2"/>
  <c r="C6" i="2"/>
  <c r="C7" i="2"/>
  <c r="C8" i="2"/>
  <c r="C9" i="2"/>
  <c r="C10" i="2"/>
  <c r="C11" i="2"/>
  <c r="C4" i="2"/>
  <c r="I12" i="2"/>
  <c r="E1" i="1"/>
  <c r="I3" i="2" s="1"/>
  <c r="J4" i="2" l="1"/>
  <c r="K5" i="2"/>
  <c r="K8" i="2"/>
  <c r="K9" i="2"/>
  <c r="K4" i="2"/>
  <c r="J12" i="2"/>
  <c r="D12" i="2"/>
  <c r="F12" i="2"/>
  <c r="E12" i="2"/>
  <c r="C12" i="2"/>
  <c r="K12" i="2" l="1"/>
</calcChain>
</file>

<file path=xl/sharedStrings.xml><?xml version="1.0" encoding="utf-8"?>
<sst xmlns="http://schemas.openxmlformats.org/spreadsheetml/2006/main" count="46" uniqueCount="32">
  <si>
    <t>POLICY KEY</t>
  </si>
  <si>
    <t>GROSS PREMIUM</t>
  </si>
  <si>
    <t>COMMISSION</t>
  </si>
  <si>
    <t>UPR</t>
  </si>
  <si>
    <t>DAC</t>
  </si>
  <si>
    <t>GWP YTD</t>
  </si>
  <si>
    <t>CLASS</t>
  </si>
  <si>
    <t>START DATE</t>
  </si>
  <si>
    <t>END DATE</t>
  </si>
  <si>
    <t>REG DATE</t>
  </si>
  <si>
    <t>DURATION</t>
  </si>
  <si>
    <t xml:space="preserve">EARNED PERIOD </t>
  </si>
  <si>
    <t>EARNED FRAC</t>
  </si>
  <si>
    <t>UPR_PERIOD</t>
  </si>
  <si>
    <t>START PERIOD</t>
  </si>
  <si>
    <t>VAL DATE</t>
  </si>
  <si>
    <t>EP</t>
  </si>
  <si>
    <t>GWP</t>
  </si>
  <si>
    <t>Aviation</t>
  </si>
  <si>
    <t>Energy</t>
  </si>
  <si>
    <t>Engineering</t>
  </si>
  <si>
    <t>Fire</t>
  </si>
  <si>
    <t>General Accident</t>
  </si>
  <si>
    <t>Marine Cargo</t>
  </si>
  <si>
    <t>Marine Hull</t>
  </si>
  <si>
    <t>Motor</t>
  </si>
  <si>
    <t>Total</t>
  </si>
  <si>
    <t>Acturial Earned Premium</t>
  </si>
  <si>
    <t>Difference</t>
  </si>
  <si>
    <t>Financal Earned Premium</t>
  </si>
  <si>
    <t>CUST NAME</t>
  </si>
  <si>
    <t>EARNED PREM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</si>
</sst>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1" fillId="2" borderId="0" xfId="0" applyFont="1" applyFill="1"/>
    <xf numFmtId="43" fontId="1" fillId="2" borderId="0" xfId="1" applyFont="1" applyFill="1"/>
    <xf numFmtId="164" fontId="1" fillId="2" borderId="0" xfId="1" applyNumberFormat="1" applyFont="1" applyFill="1"/>
    <xf numFmtId="43" fontId="0" fillId="0" borderId="0" xfId="1" applyFont="1"/>
    <xf numFmtId="164" fontId="0" fillId="0" borderId="0" xfId="1" applyNumberFormat="1" applyFont="1"/>
    <xf numFmtId="164" fontId="3" fillId="0" borderId="0" xfId="1" applyNumberFormat="1" applyFont="1"/>
    <xf numFmtId="14" fontId="0" fillId="0" borderId="0" xfId="0" applyNumberFormat="1"/>
    <xf numFmtId="0" fontId="4" fillId="0" borderId="0" xfId="0" applyFont="1"/>
    <xf numFmtId="14" fontId="5" fillId="3" borderId="1" xfId="0" applyNumberFormat="1" applyFont="1" applyFill="1" applyBorder="1"/>
    <xf numFmtId="14" fontId="4" fillId="0" borderId="0" xfId="0" applyNumberFormat="1" applyFont="1"/>
    <xf numFmtId="14" fontId="1" fillId="2" borderId="0" xfId="0" applyNumberFormat="1" applyFont="1" applyFill="1"/>
    <xf numFmtId="14" fontId="5" fillId="3" borderId="1" xfId="1" applyNumberFormat="1" applyFont="1" applyFill="1" applyBorder="1"/>
    <xf numFmtId="165" fontId="0" fillId="0" borderId="0" xfId="1" applyNumberFormat="1" applyFont="1"/>
    <xf numFmtId="165" fontId="1" fillId="2" borderId="0" xfId="1" applyNumberFormat="1" applyFont="1" applyFill="1"/>
    <xf numFmtId="1" fontId="0" fillId="0" borderId="0" xfId="0" applyNumberFormat="1"/>
    <xf numFmtId="1" fontId="1" fillId="2" borderId="0" xfId="0" applyNumberFormat="1" applyFont="1" applyFill="1"/>
    <xf numFmtId="0" fontId="3" fillId="0" borderId="0" xfId="0" applyFont="1"/>
    <xf numFmtId="14" fontId="3" fillId="0" borderId="0" xfId="0" applyNumberFormat="1" applyFont="1"/>
    <xf numFmtId="1" fontId="3" fillId="0" borderId="0" xfId="0" applyNumberFormat="1" applyFont="1"/>
    <xf numFmtId="165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AA75-1BD5-4184-8140-C1A2F9A136A8}">
  <dimension ref="A1:P2"/>
  <sheetViews>
    <sheetView tabSelected="1" workbookViewId="0">
      <selection activeCell="A18" sqref="A18"/>
    </sheetView>
  </sheetViews>
  <sheetFormatPr defaultRowHeight="14.5" x14ac:dyDescent="0.35"/>
  <cols>
    <col min="1" max="2" width="15.6328125" style="17" customWidth="1"/>
    <col min="3" max="4" width="15.6328125" style="18" customWidth="1"/>
    <col min="5" max="5" width="15.6328125" style="6" customWidth="1"/>
    <col min="6" max="7" width="15.6328125" style="17" customWidth="1"/>
    <col min="8" max="8" width="15.6328125" style="18" customWidth="1"/>
    <col min="9" max="10" width="15.6328125" style="19" customWidth="1"/>
    <col min="11" max="11" width="15.6328125" style="20" customWidth="1"/>
    <col min="12" max="12" width="15.6328125" style="6" customWidth="1"/>
    <col min="13" max="13" width="15.6328125" style="17" customWidth="1"/>
    <col min="14" max="16" width="15.6328125" style="6" customWidth="1"/>
  </cols>
  <sheetData>
    <row r="1" spans="1:16" x14ac:dyDescent="0.35">
      <c r="A1"/>
      <c r="B1"/>
      <c r="C1" s="7"/>
      <c r="D1" s="10" t="s">
        <v>14</v>
      </c>
      <c r="E1" s="12">
        <f ca="1">TODAY()</f>
        <v>45971</v>
      </c>
      <c r="F1"/>
      <c r="G1" s="8" t="s">
        <v>15</v>
      </c>
      <c r="H1" s="9"/>
      <c r="I1" s="15"/>
      <c r="J1" s="15"/>
      <c r="K1" s="13"/>
      <c r="L1" s="5"/>
      <c r="M1"/>
      <c r="N1" s="5"/>
      <c r="O1" s="5"/>
      <c r="P1" s="5"/>
    </row>
    <row r="2" spans="1:16" x14ac:dyDescent="0.35">
      <c r="A2" s="1" t="s">
        <v>0</v>
      </c>
      <c r="B2" s="1" t="s">
        <v>30</v>
      </c>
      <c r="C2" s="11" t="s">
        <v>7</v>
      </c>
      <c r="D2" s="11" t="s">
        <v>8</v>
      </c>
      <c r="E2" s="3" t="s">
        <v>1</v>
      </c>
      <c r="F2" s="1" t="s">
        <v>2</v>
      </c>
      <c r="G2" s="1" t="s">
        <v>6</v>
      </c>
      <c r="H2" s="11" t="s">
        <v>9</v>
      </c>
      <c r="I2" s="16" t="s">
        <v>10</v>
      </c>
      <c r="J2" s="16" t="s">
        <v>11</v>
      </c>
      <c r="K2" s="14" t="s">
        <v>12</v>
      </c>
      <c r="L2" s="3" t="s">
        <v>31</v>
      </c>
      <c r="M2" s="1" t="s">
        <v>13</v>
      </c>
      <c r="N2" s="3" t="s">
        <v>3</v>
      </c>
      <c r="O2" s="3" t="s">
        <v>4</v>
      </c>
      <c r="P2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70A1-E354-440B-814C-114CB66F11BC}">
  <dimension ref="B2:K12"/>
  <sheetViews>
    <sheetView zoomScaleNormal="100" workbookViewId="0">
      <selection activeCell="I4" sqref="I4:K12"/>
    </sheetView>
  </sheetViews>
  <sheetFormatPr defaultRowHeight="14.5" x14ac:dyDescent="0.35"/>
  <cols>
    <col min="2" max="2" width="16.453125" customWidth="1"/>
    <col min="3" max="6" width="15.6328125" customWidth="1"/>
    <col min="8" max="11" width="15.6328125" customWidth="1"/>
  </cols>
  <sheetData>
    <row r="2" spans="2:11" x14ac:dyDescent="0.35">
      <c r="B2" t="s">
        <v>27</v>
      </c>
      <c r="H2" t="s">
        <v>29</v>
      </c>
    </row>
    <row r="3" spans="2:11" x14ac:dyDescent="0.35">
      <c r="B3" s="2" t="s">
        <v>6</v>
      </c>
      <c r="C3" s="2" t="s">
        <v>16</v>
      </c>
      <c r="D3" s="2" t="s">
        <v>3</v>
      </c>
      <c r="E3" s="2" t="s">
        <v>4</v>
      </c>
      <c r="F3" s="2" t="s">
        <v>17</v>
      </c>
      <c r="H3" s="2" t="s">
        <v>6</v>
      </c>
      <c r="I3" s="2" t="str">
        <f ca="1">"FY "&amp;YEAR(Calculation!E1)-1&amp;" UPR"</f>
        <v>FY 2024 UPR</v>
      </c>
      <c r="J3" s="2" t="s">
        <v>16</v>
      </c>
      <c r="K3" s="2" t="s">
        <v>28</v>
      </c>
    </row>
    <row r="4" spans="2:11" x14ac:dyDescent="0.35">
      <c r="B4" s="6" t="s">
        <v>18</v>
      </c>
      <c r="C4" s="6">
        <f>SUMIF(Calculation!$G:$G,$B4,Calculation!L:L)</f>
        <v>0</v>
      </c>
      <c r="D4" s="6">
        <f>SUMIF(Calculation!$G:$G,$B4,Calculation!N:N)</f>
        <v>0</v>
      </c>
      <c r="E4" s="6">
        <f>SUMIF(Calculation!$G:$G,$B4,Calculation!O:O)</f>
        <v>0</v>
      </c>
      <c r="F4" s="6">
        <f>SUMIF(Calculation!$G:$G,$B4,Calculation!P:P)</f>
        <v>0</v>
      </c>
      <c r="H4" s="4" t="s">
        <v>18</v>
      </c>
      <c r="I4" s="6">
        <v>94678642.7156602</v>
      </c>
      <c r="J4" s="6">
        <f>F4-(D4-I4)</f>
        <v>94678642.7156602</v>
      </c>
      <c r="K4" s="6">
        <f>C4-J4</f>
        <v>-94678642.7156602</v>
      </c>
    </row>
    <row r="5" spans="2:11" x14ac:dyDescent="0.35">
      <c r="B5" s="6" t="s">
        <v>19</v>
      </c>
      <c r="C5" s="6">
        <f>SUMIF(Calculation!$G:$G,$B5,Calculation!L:L)</f>
        <v>0</v>
      </c>
      <c r="D5" s="6">
        <f>SUMIF(Calculation!$G:$G,$B5,Calculation!N:N)</f>
        <v>0</v>
      </c>
      <c r="E5" s="6">
        <f>SUMIF(Calculation!$G:$G,$B5,Calculation!O:O)</f>
        <v>0</v>
      </c>
      <c r="F5" s="6">
        <f>SUMIF(Calculation!$G:$G,$B5,Calculation!P:P)</f>
        <v>0</v>
      </c>
      <c r="H5" s="4" t="s">
        <v>19</v>
      </c>
      <c r="I5" s="6">
        <v>1057148550.913</v>
      </c>
      <c r="J5" s="6">
        <f t="shared" ref="J5:J11" si="0">F5-(D5-I5)</f>
        <v>1057148550.913</v>
      </c>
      <c r="K5" s="6">
        <f t="shared" ref="K5:K11" si="1">C5-J5</f>
        <v>-1057148550.913</v>
      </c>
    </row>
    <row r="6" spans="2:11" x14ac:dyDescent="0.35">
      <c r="B6" s="6" t="s">
        <v>20</v>
      </c>
      <c r="C6" s="6">
        <f>SUMIF(Calculation!$G:$G,$B6,Calculation!L:L)</f>
        <v>0</v>
      </c>
      <c r="D6" s="6">
        <f>SUMIF(Calculation!$G:$G,$B6,Calculation!N:N)</f>
        <v>0</v>
      </c>
      <c r="E6" s="6">
        <f>SUMIF(Calculation!$G:$G,$B6,Calculation!O:O)</f>
        <v>0</v>
      </c>
      <c r="F6" s="6">
        <f>SUMIF(Calculation!$G:$G,$B6,Calculation!P:P)</f>
        <v>0</v>
      </c>
      <c r="H6" s="4" t="s">
        <v>20</v>
      </c>
      <c r="I6" s="6">
        <v>396404276.40002</v>
      </c>
      <c r="J6" s="6">
        <f t="shared" si="0"/>
        <v>396404276.40002</v>
      </c>
      <c r="K6" s="6">
        <f t="shared" si="1"/>
        <v>-396404276.40002</v>
      </c>
    </row>
    <row r="7" spans="2:11" x14ac:dyDescent="0.35">
      <c r="B7" s="6" t="s">
        <v>21</v>
      </c>
      <c r="C7" s="6">
        <f>SUMIF(Calculation!$G:$G,$B7,Calculation!L:L)</f>
        <v>0</v>
      </c>
      <c r="D7" s="6">
        <f>SUMIF(Calculation!$G:$G,$B7,Calculation!N:N)</f>
        <v>0</v>
      </c>
      <c r="E7" s="6">
        <f>SUMIF(Calculation!$G:$G,$B7,Calculation!O:O)</f>
        <v>0</v>
      </c>
      <c r="F7" s="6">
        <f>SUMIF(Calculation!$G:$G,$B7,Calculation!P:P)</f>
        <v>0</v>
      </c>
      <c r="H7" s="4" t="s">
        <v>21</v>
      </c>
      <c r="I7" s="6">
        <v>1556927992.2740901</v>
      </c>
      <c r="J7" s="6">
        <f t="shared" si="0"/>
        <v>1556927992.2740901</v>
      </c>
      <c r="K7" s="6">
        <f t="shared" si="1"/>
        <v>-1556927992.2740901</v>
      </c>
    </row>
    <row r="8" spans="2:11" x14ac:dyDescent="0.35">
      <c r="B8" s="6" t="s">
        <v>22</v>
      </c>
      <c r="C8" s="6">
        <f>SUMIF(Calculation!$G:$G,$B8,Calculation!L:L)</f>
        <v>0</v>
      </c>
      <c r="D8" s="6">
        <f>SUMIF(Calculation!$G:$G,$B8,Calculation!N:N)</f>
        <v>0</v>
      </c>
      <c r="E8" s="6">
        <f>SUMIF(Calculation!$G:$G,$B8,Calculation!O:O)</f>
        <v>0</v>
      </c>
      <c r="F8" s="6">
        <f>SUMIF(Calculation!$G:$G,$B8,Calculation!P:P)</f>
        <v>0</v>
      </c>
      <c r="H8" s="4" t="s">
        <v>22</v>
      </c>
      <c r="I8" s="6">
        <v>1077681269.6458099</v>
      </c>
      <c r="J8" s="6">
        <f t="shared" si="0"/>
        <v>1077681269.6458099</v>
      </c>
      <c r="K8" s="6">
        <f t="shared" si="1"/>
        <v>-1077681269.6458099</v>
      </c>
    </row>
    <row r="9" spans="2:11" x14ac:dyDescent="0.35">
      <c r="B9" s="6" t="s">
        <v>23</v>
      </c>
      <c r="C9" s="6">
        <f>SUMIF(Calculation!$G:$G,$B9,Calculation!L:L)</f>
        <v>0</v>
      </c>
      <c r="D9" s="6">
        <f>SUMIF(Calculation!$G:$G,$B9,Calculation!N:N)</f>
        <v>0</v>
      </c>
      <c r="E9" s="6">
        <f>SUMIF(Calculation!$G:$G,$B9,Calculation!O:O)</f>
        <v>0</v>
      </c>
      <c r="F9" s="6">
        <f>SUMIF(Calculation!$G:$G,$B9,Calculation!P:P)</f>
        <v>0</v>
      </c>
      <c r="H9" s="4" t="s">
        <v>23</v>
      </c>
      <c r="I9" s="6">
        <v>237857601.337246</v>
      </c>
      <c r="J9" s="6">
        <f t="shared" si="0"/>
        <v>237857601.337246</v>
      </c>
      <c r="K9" s="6">
        <f t="shared" si="1"/>
        <v>-237857601.337246</v>
      </c>
    </row>
    <row r="10" spans="2:11" x14ac:dyDescent="0.35">
      <c r="B10" s="6" t="s">
        <v>24</v>
      </c>
      <c r="C10" s="6">
        <f>SUMIF(Calculation!$G:$G,$B10,Calculation!L:L)</f>
        <v>0</v>
      </c>
      <c r="D10" s="6">
        <f>SUMIF(Calculation!$G:$G,$B10,Calculation!N:N)</f>
        <v>0</v>
      </c>
      <c r="E10" s="6">
        <f>SUMIF(Calculation!$G:$G,$B10,Calculation!O:O)</f>
        <v>0</v>
      </c>
      <c r="F10" s="6">
        <f>SUMIF(Calculation!$G:$G,$B10,Calculation!P:P)</f>
        <v>0</v>
      </c>
      <c r="H10" s="4" t="s">
        <v>24</v>
      </c>
      <c r="I10" s="6">
        <v>166540693.728241</v>
      </c>
      <c r="J10" s="6">
        <f t="shared" si="0"/>
        <v>166540693.728241</v>
      </c>
      <c r="K10" s="6">
        <f t="shared" si="1"/>
        <v>-166540693.728241</v>
      </c>
    </row>
    <row r="11" spans="2:11" x14ac:dyDescent="0.35">
      <c r="B11" s="6" t="s">
        <v>25</v>
      </c>
      <c r="C11" s="6">
        <f>SUMIF(Calculation!$G:$G,$B11,Calculation!L:L)</f>
        <v>0</v>
      </c>
      <c r="D11" s="6">
        <f>SUMIF(Calculation!$G:$G,$B11,Calculation!N:N)</f>
        <v>0</v>
      </c>
      <c r="E11" s="6">
        <f>SUMIF(Calculation!$G:$G,$B11,Calculation!O:O)</f>
        <v>0</v>
      </c>
      <c r="F11" s="6">
        <f>SUMIF(Calculation!$G:$G,$B11,Calculation!P:P)</f>
        <v>0</v>
      </c>
      <c r="H11" s="4" t="s">
        <v>25</v>
      </c>
      <c r="I11" s="6">
        <v>1879325645.54182</v>
      </c>
      <c r="J11" s="6">
        <f t="shared" si="0"/>
        <v>1879325645.54182</v>
      </c>
      <c r="K11" s="6">
        <f t="shared" si="1"/>
        <v>-1879325645.54182</v>
      </c>
    </row>
    <row r="12" spans="2:11" x14ac:dyDescent="0.35">
      <c r="B12" s="3" t="s">
        <v>26</v>
      </c>
      <c r="C12" s="3">
        <f>SUM(C4:C11)</f>
        <v>0</v>
      </c>
      <c r="D12" s="3">
        <f t="shared" ref="D12:F12" si="2">SUM(D4:D11)</f>
        <v>0</v>
      </c>
      <c r="E12" s="3">
        <f t="shared" si="2"/>
        <v>0</v>
      </c>
      <c r="F12" s="3">
        <f t="shared" si="2"/>
        <v>0</v>
      </c>
      <c r="H12" s="2" t="s">
        <v>26</v>
      </c>
      <c r="I12" s="3">
        <f>SUM(I4:I11)</f>
        <v>6466564672.5558872</v>
      </c>
      <c r="J12" s="3">
        <f t="shared" ref="J12" si="3">SUM(J4:J11)</f>
        <v>6466564672.5558872</v>
      </c>
      <c r="K12" s="3">
        <f t="shared" ref="K12" si="4">SUM(K4:K11)</f>
        <v>-6466564672.5558872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EBB4-F081-471C-A285-E01A6D33EA1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Calculation</vt:lpstr>
      <vt:lpstr>Summary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Timilehin OLOWOLAFE</dc:creator>
  <cp:lastModifiedBy>Timilehin OLOWOLAFE</cp:lastModifiedBy>
  <dcterms:created xsi:type="dcterms:W3CDTF">2025-11-10T11:38:19Z</dcterms:created>
  <dcterms:modified xsi:type="dcterms:W3CDTF">2025-11-10T13:18:12Z</dcterms:modified>
</cp:coreProperties>
</file>