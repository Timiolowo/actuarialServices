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lowolafe\Documents\P&amp;C\Templates\"/>
    </mc:Choice>
  </mc:AlternateContent>
  <xr:revisionPtr revIDLastSave="0" documentId="13_ncr:1_{D3AAADAA-E443-441C-AFFE-F39DBDF37A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F19" i="1" s="1"/>
  <c r="E20" i="1"/>
  <c r="F20" i="1" s="1"/>
  <c r="E21" i="1"/>
  <c r="F21" i="1" s="1"/>
  <c r="E22" i="1"/>
  <c r="E23" i="1"/>
  <c r="F23" i="1" s="1"/>
  <c r="E24" i="1"/>
  <c r="F24" i="1" s="1"/>
  <c r="E25" i="1"/>
  <c r="F25" i="1" s="1"/>
  <c r="E18" i="1"/>
  <c r="F18" i="1" s="1"/>
  <c r="D26" i="1"/>
  <c r="C26" i="1"/>
  <c r="C19" i="1"/>
  <c r="C20" i="1"/>
  <c r="C21" i="1"/>
  <c r="C22" i="1"/>
  <c r="C23" i="1"/>
  <c r="C24" i="1"/>
  <c r="C25" i="1"/>
  <c r="C18" i="1"/>
  <c r="D17" i="1"/>
  <c r="E26" i="1" l="1"/>
  <c r="F22" i="1"/>
  <c r="F26" i="1"/>
</calcChain>
</file>

<file path=xl/sharedStrings.xml><?xml version="1.0" encoding="utf-8"?>
<sst xmlns="http://schemas.openxmlformats.org/spreadsheetml/2006/main" count="6" uniqueCount="6">
  <si>
    <t>START DATE</t>
  </si>
  <si>
    <t>END DATE</t>
  </si>
  <si>
    <t>Finance Earned Premium</t>
  </si>
  <si>
    <t>CLASS</t>
  </si>
  <si>
    <t>Earned Premium</t>
  </si>
  <si>
    <t>Actuarial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</si>
</sst>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;@"/>
    <numFmt numFmtId="165" formatCode="_-* #,##0_-;\-* #,##0_-;_-* &quot;-&quot;??_-;_-@_-"/>
    <numFmt numFmtId="166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 tint="-0.499984740745262"/>
      </top>
      <bottom style="double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3" borderId="1" xfId="0" applyFont="1" applyFill="1" applyBorder="1"/>
    <xf numFmtId="164" fontId="4" fillId="0" borderId="1" xfId="0" applyNumberFormat="1" applyFont="1" applyBorder="1"/>
    <xf numFmtId="165" fontId="5" fillId="0" borderId="0" xfId="1" applyNumberFormat="1" applyFont="1"/>
    <xf numFmtId="166" fontId="5" fillId="0" borderId="0" xfId="1" applyNumberFormat="1" applyFont="1"/>
    <xf numFmtId="165" fontId="6" fillId="0" borderId="2" xfId="1" applyNumberFormat="1" applyFont="1" applyBorder="1"/>
    <xf numFmtId="166" fontId="6" fillId="0" borderId="2" xfId="1" applyNumberFormat="1" applyFont="1" applyBorder="1"/>
    <xf numFmtId="0" fontId="2" fillId="2" borderId="3" xfId="0" applyFont="1" applyFill="1" applyBorder="1"/>
    <xf numFmtId="43" fontId="2" fillId="2" borderId="3" xfId="1" applyFont="1" applyFill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2" fillId="0" borderId="0" xfId="1" applyFont="1" applyFill="1" applyBorder="1" applyAlignment="1">
      <alignment horizontal="right"/>
    </xf>
    <xf numFmtId="166" fontId="5" fillId="0" borderId="0" xfId="1" applyNumberFormat="1" applyFont="1" applyFill="1" applyBorder="1"/>
    <xf numFmtId="166" fontId="6" fillId="0" borderId="0" xfId="1" applyNumberFormat="1" applyFont="1" applyFill="1" applyBorder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27"/>
  <sheetViews>
    <sheetView tabSelected="1" workbookViewId="0">
      <selection activeCell="D30" sqref="D30"/>
    </sheetView>
  </sheetViews>
  <sheetFormatPr defaultRowHeight="14.5" x14ac:dyDescent="0.35"/>
  <cols>
    <col min="3" max="7" width="25.7265625" customWidth="1"/>
  </cols>
  <sheetData>
    <row r="2" spans="3:7" x14ac:dyDescent="0.35">
      <c r="C2" s="1" t="s">
        <v>0</v>
      </c>
      <c r="D2" s="2"/>
      <c r="F2" s="1" t="s">
        <v>1</v>
      </c>
      <c r="G2" s="2"/>
    </row>
    <row r="4" spans="3:7" x14ac:dyDescent="0.35">
      <c r="C4" s="7"/>
      <c r="D4" s="8"/>
      <c r="E4" s="8"/>
      <c r="F4" s="8"/>
      <c r="G4" s="8"/>
    </row>
    <row r="5" spans="3:7" x14ac:dyDescent="0.35">
      <c r="C5" s="3"/>
      <c r="D5" s="4"/>
      <c r="E5" s="4"/>
      <c r="F5" s="4"/>
      <c r="G5" s="4"/>
    </row>
    <row r="6" spans="3:7" x14ac:dyDescent="0.35">
      <c r="C6" s="3"/>
      <c r="D6" s="4"/>
      <c r="E6" s="4"/>
      <c r="F6" s="4"/>
      <c r="G6" s="4"/>
    </row>
    <row r="7" spans="3:7" x14ac:dyDescent="0.35">
      <c r="C7" s="3"/>
      <c r="D7" s="4"/>
      <c r="E7" s="4"/>
      <c r="F7" s="4"/>
      <c r="G7" s="4"/>
    </row>
    <row r="8" spans="3:7" x14ac:dyDescent="0.35">
      <c r="C8" s="3"/>
      <c r="D8" s="4"/>
      <c r="E8" s="4"/>
      <c r="F8" s="4"/>
      <c r="G8" s="4"/>
    </row>
    <row r="9" spans="3:7" x14ac:dyDescent="0.35">
      <c r="C9" s="3"/>
      <c r="D9" s="4"/>
      <c r="E9" s="4"/>
      <c r="F9" s="4"/>
      <c r="G9" s="4"/>
    </row>
    <row r="10" spans="3:7" x14ac:dyDescent="0.35">
      <c r="C10" s="3"/>
      <c r="D10" s="4"/>
      <c r="E10" s="4"/>
      <c r="F10" s="4"/>
      <c r="G10" s="4"/>
    </row>
    <row r="11" spans="3:7" x14ac:dyDescent="0.35">
      <c r="C11" s="3"/>
      <c r="D11" s="4"/>
      <c r="E11" s="4"/>
      <c r="F11" s="4"/>
      <c r="G11" s="4"/>
    </row>
    <row r="12" spans="3:7" x14ac:dyDescent="0.35">
      <c r="C12" s="3"/>
      <c r="D12" s="4"/>
      <c r="E12" s="4"/>
      <c r="F12" s="4"/>
      <c r="G12" s="4"/>
    </row>
    <row r="13" spans="3:7" ht="15" thickBot="1" x14ac:dyDescent="0.4">
      <c r="C13" s="5"/>
      <c r="D13" s="6"/>
      <c r="E13" s="6"/>
      <c r="F13" s="6"/>
      <c r="G13" s="6"/>
    </row>
    <row r="14" spans="3:7" ht="15" thickTop="1" x14ac:dyDescent="0.35"/>
    <row r="16" spans="3:7" x14ac:dyDescent="0.35">
      <c r="C16" s="13" t="s">
        <v>2</v>
      </c>
    </row>
    <row r="17" spans="3:7" x14ac:dyDescent="0.35">
      <c r="C17" s="7" t="s">
        <v>3</v>
      </c>
      <c r="D17" s="8" t="str">
        <f>"UPR @ Dec "&amp;YEAR(G2)-1</f>
        <v>UPR @ Dec 1899</v>
      </c>
      <c r="E17" s="8" t="s">
        <v>4</v>
      </c>
      <c r="F17" s="9" t="s">
        <v>5</v>
      </c>
      <c r="G17" s="10"/>
    </row>
    <row r="18" spans="3:7" x14ac:dyDescent="0.35">
      <c r="C18" s="3">
        <f>C5</f>
        <v>0</v>
      </c>
      <c r="D18" s="4">
        <v>108960975.95586599</v>
      </c>
      <c r="E18" s="4">
        <f>G5-(E5-D18)</f>
        <v>108960975.95586599</v>
      </c>
      <c r="F18" s="4">
        <f>E18-D5</f>
        <v>108960975.95586599</v>
      </c>
      <c r="G18" s="11"/>
    </row>
    <row r="19" spans="3:7" x14ac:dyDescent="0.35">
      <c r="C19" s="3">
        <f t="shared" ref="C19:C25" si="0">C6</f>
        <v>0</v>
      </c>
      <c r="D19" s="4">
        <v>4433554876.8552599</v>
      </c>
      <c r="E19" s="4">
        <f t="shared" ref="E19:E25" si="1">G6-(E6-D19)</f>
        <v>4433554876.8552599</v>
      </c>
      <c r="F19" s="4">
        <f t="shared" ref="F19:F25" si="2">E19-D6</f>
        <v>4433554876.8552599</v>
      </c>
      <c r="G19" s="11"/>
    </row>
    <row r="20" spans="3:7" x14ac:dyDescent="0.35">
      <c r="C20" s="3">
        <f t="shared" si="0"/>
        <v>0</v>
      </c>
      <c r="D20" s="4">
        <v>398525760.704436</v>
      </c>
      <c r="E20" s="4">
        <f t="shared" si="1"/>
        <v>398525760.704436</v>
      </c>
      <c r="F20" s="4">
        <f t="shared" si="2"/>
        <v>398525760.704436</v>
      </c>
      <c r="G20" s="11"/>
    </row>
    <row r="21" spans="3:7" x14ac:dyDescent="0.35">
      <c r="C21" s="3">
        <f t="shared" si="0"/>
        <v>0</v>
      </c>
      <c r="D21" s="4">
        <v>2115280582.0984299</v>
      </c>
      <c r="E21" s="4">
        <f t="shared" si="1"/>
        <v>2115280582.0984299</v>
      </c>
      <c r="F21" s="4">
        <f t="shared" si="2"/>
        <v>2115280582.0984299</v>
      </c>
      <c r="G21" s="11"/>
    </row>
    <row r="22" spans="3:7" x14ac:dyDescent="0.35">
      <c r="C22" s="3">
        <f t="shared" si="0"/>
        <v>0</v>
      </c>
      <c r="D22" s="4">
        <v>1366139385.4725699</v>
      </c>
      <c r="E22" s="4">
        <f t="shared" si="1"/>
        <v>1366139385.4725699</v>
      </c>
      <c r="F22" s="4">
        <f t="shared" si="2"/>
        <v>1366139385.4725699</v>
      </c>
      <c r="G22" s="11"/>
    </row>
    <row r="23" spans="3:7" x14ac:dyDescent="0.35">
      <c r="C23" s="3">
        <f t="shared" si="0"/>
        <v>0</v>
      </c>
      <c r="D23" s="4">
        <v>262160383.80617899</v>
      </c>
      <c r="E23" s="4">
        <f t="shared" si="1"/>
        <v>262160383.80617899</v>
      </c>
      <c r="F23" s="4">
        <f t="shared" si="2"/>
        <v>262160383.80617899</v>
      </c>
      <c r="G23" s="11"/>
    </row>
    <row r="24" spans="3:7" x14ac:dyDescent="0.35">
      <c r="C24" s="3">
        <f t="shared" si="0"/>
        <v>0</v>
      </c>
      <c r="D24" s="4">
        <v>295374340.87478799</v>
      </c>
      <c r="E24" s="4">
        <f t="shared" si="1"/>
        <v>295374340.87478799</v>
      </c>
      <c r="F24" s="4">
        <f t="shared" si="2"/>
        <v>295374340.87478799</v>
      </c>
      <c r="G24" s="11"/>
    </row>
    <row r="25" spans="3:7" x14ac:dyDescent="0.35">
      <c r="C25" s="3">
        <f t="shared" si="0"/>
        <v>0</v>
      </c>
      <c r="D25" s="4">
        <v>2432609224.3846002</v>
      </c>
      <c r="E25" s="4">
        <f t="shared" si="1"/>
        <v>2432609224.3846002</v>
      </c>
      <c r="F25" s="4">
        <f t="shared" si="2"/>
        <v>2432609224.3846002</v>
      </c>
      <c r="G25" s="11"/>
    </row>
    <row r="26" spans="3:7" ht="15" thickBot="1" x14ac:dyDescent="0.4">
      <c r="C26" s="5">
        <f>C13</f>
        <v>0</v>
      </c>
      <c r="D26" s="6">
        <f>SUM(D18:D25)</f>
        <v>11412605530.152128</v>
      </c>
      <c r="E26" s="6">
        <f>SUM(E18:E25)</f>
        <v>11412605530.152128</v>
      </c>
      <c r="F26" s="6">
        <f>SUM(F18:F25)</f>
        <v>11412605530.152128</v>
      </c>
      <c r="G26" s="12"/>
    </row>
    <row r="27" spans="3:7" ht="15" thickTop="1" x14ac:dyDescent="0.3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d9149c-001b-4746-b228-4a4ac04b0c3a}" enabled="1" method="Standard" siteId="{1392883e-8dfa-4041-b5c2-6eefcffd20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Timilehin Olowolafe</dc:creator>
  <cp:lastModifiedBy>Timilehin OLOWOLAFE</cp:lastModifiedBy>
  <dcterms:created xsi:type="dcterms:W3CDTF">2015-06-05T18:17:20Z</dcterms:created>
  <dcterms:modified xsi:type="dcterms:W3CDTF">2026-02-03T06:15:29Z</dcterms:modified>
</cp:coreProperties>
</file>